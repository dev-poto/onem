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v\Desktop\"/>
    </mc:Choice>
  </mc:AlternateContent>
  <xr:revisionPtr revIDLastSave="0" documentId="13_ncr:1_{A92553F2-1F41-451E-85A2-B6B1785C76E3}" xr6:coauthVersionLast="47" xr6:coauthVersionMax="47" xr10:uidLastSave="{00000000-0000-0000-0000-000000000000}"/>
  <bookViews>
    <workbookView xWindow="-120" yWindow="-120" windowWidth="20730" windowHeight="11040" xr2:uid="{FF26EFF2-6C06-4D29-BFE6-3983938EE0FD}"/>
  </bookViews>
  <sheets>
    <sheet name="Opération" sheetId="1" r:id="rId1"/>
    <sheet name="Marchandises" sheetId="2" r:id="rId2"/>
    <sheet name="Entrées" sheetId="3" r:id="rId3"/>
    <sheet name="Sorties" sheetId="4" r:id="rId4"/>
    <sheet name="Inventaire" sheetId="5" r:id="rId5"/>
  </sheets>
  <definedNames>
    <definedName name="_xlnm.Print_Area" localSheetId="0">Opération!$F$3:$J$20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1" l="1"/>
  <c r="G13" i="1"/>
  <c r="I16" i="1"/>
  <c r="I7" i="1"/>
  <c r="G16" i="1"/>
  <c r="J15" i="2"/>
  <c r="J16" i="2"/>
  <c r="J17" i="2"/>
  <c r="J18" i="2"/>
  <c r="F9" i="2"/>
</calcChain>
</file>

<file path=xl/sharedStrings.xml><?xml version="1.0" encoding="utf-8"?>
<sst xmlns="http://schemas.openxmlformats.org/spreadsheetml/2006/main" count="48" uniqueCount="29">
  <si>
    <t>Veuillez saisir les informations de chaque marchandise</t>
  </si>
  <si>
    <t>Référence</t>
  </si>
  <si>
    <t>Designation</t>
  </si>
  <si>
    <t>Categorie</t>
  </si>
  <si>
    <t>Unité</t>
  </si>
  <si>
    <t>Seuil d'alerte</t>
  </si>
  <si>
    <t>Stock initial</t>
  </si>
  <si>
    <t>Prix unitaire</t>
  </si>
  <si>
    <t>Total</t>
  </si>
  <si>
    <r>
      <rPr>
        <sz val="16"/>
        <rFont val="Google Sans"/>
        <family val="2"/>
      </rPr>
      <t>Nouvelle</t>
    </r>
    <r>
      <rPr>
        <sz val="16"/>
        <color rgb="FF514497"/>
        <rFont val="Google Sans"/>
        <family val="2"/>
      </rPr>
      <t xml:space="preserve"> marchandise</t>
    </r>
  </si>
  <si>
    <t>Liste des marchandises</t>
  </si>
  <si>
    <t>S1</t>
  </si>
  <si>
    <t>Smartphone</t>
  </si>
  <si>
    <t>1 unite</t>
  </si>
  <si>
    <t>Google pixel A3</t>
  </si>
  <si>
    <t>S2</t>
  </si>
  <si>
    <t>Iphone 15</t>
  </si>
  <si>
    <t>1 unité</t>
  </si>
  <si>
    <t/>
  </si>
  <si>
    <t>Mac M2</t>
  </si>
  <si>
    <t>Computer</t>
  </si>
  <si>
    <t>Veuillez saisir les détailles de l'opération de vente ou d'achat</t>
  </si>
  <si>
    <r>
      <rPr>
        <b/>
        <sz val="20"/>
        <rFont val="Google Sans"/>
        <family val="2"/>
      </rPr>
      <t>Nouvelle</t>
    </r>
    <r>
      <rPr>
        <b/>
        <sz val="20"/>
        <color rgb="FF514497"/>
        <rFont val="Google Sans"/>
        <family val="2"/>
      </rPr>
      <t xml:space="preserve"> opération</t>
    </r>
  </si>
  <si>
    <t>Désignation</t>
  </si>
  <si>
    <t>Date</t>
  </si>
  <si>
    <t>Quantite</t>
  </si>
  <si>
    <t>C1</t>
  </si>
  <si>
    <t>C2</t>
  </si>
  <si>
    <t>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</si>
</sst>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Google Sans"/>
      <family val="2"/>
    </font>
    <font>
      <sz val="12"/>
      <color theme="1"/>
      <name val="Google Sans"/>
      <family val="2"/>
    </font>
    <font>
      <sz val="16"/>
      <color rgb="FF514497"/>
      <name val="Google Sans"/>
      <family val="2"/>
    </font>
    <font>
      <sz val="16"/>
      <name val="Google Sans"/>
      <family val="2"/>
    </font>
    <font>
      <sz val="14"/>
      <color rgb="FF514497"/>
      <name val="Google Sans"/>
      <family val="2"/>
    </font>
    <font>
      <sz val="12"/>
      <color rgb="FF514497"/>
      <name val="Google Sans"/>
      <family val="2"/>
    </font>
    <font>
      <sz val="11"/>
      <color rgb="FF514497"/>
      <name val="Google Sans"/>
      <family val="2"/>
    </font>
    <font>
      <b/>
      <sz val="20"/>
      <color rgb="FF514497"/>
      <name val="Google Sans"/>
      <family val="2"/>
    </font>
    <font>
      <b/>
      <sz val="20"/>
      <name val="Google Sans"/>
      <family val="2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514497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3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right"/>
    </xf>
    <xf numFmtId="0" fontId="4" fillId="4" borderId="0" xfId="0" applyFont="1" applyFill="1"/>
    <xf numFmtId="0" fontId="7" fillId="2" borderId="0" xfId="0" applyFont="1" applyFill="1" applyAlignment="1">
      <alignment horizontal="left"/>
    </xf>
    <xf numFmtId="164" fontId="8" fillId="2" borderId="0" xfId="0" applyNumberFormat="1" applyFont="1" applyFill="1"/>
    <xf numFmtId="2" fontId="8" fillId="2" borderId="0" xfId="0" applyNumberFormat="1" applyFont="1" applyFill="1"/>
    <xf numFmtId="49" fontId="8" fillId="2" borderId="0" xfId="0" applyNumberFormat="1" applyFont="1" applyFill="1"/>
    <xf numFmtId="0" fontId="8" fillId="2" borderId="0" xfId="0" applyFont="1" applyFill="1"/>
    <xf numFmtId="44" fontId="2" fillId="4" borderId="0" xfId="1" applyFont="1" applyFill="1" applyAlignment="1">
      <alignment horizontal="left"/>
    </xf>
    <xf numFmtId="49" fontId="2" fillId="4" borderId="0" xfId="0" applyNumberFormat="1" applyFont="1" applyFill="1"/>
    <xf numFmtId="0" fontId="7" fillId="2" borderId="0" xfId="0" applyFont="1" applyFill="1" applyAlignment="1">
      <alignment horizontal="center"/>
    </xf>
    <xf numFmtId="0" fontId="4" fillId="3" borderId="0" xfId="0" applyFont="1" applyFill="1"/>
    <xf numFmtId="0" fontId="2" fillId="2" borderId="0" xfId="0" applyFont="1" applyFill="1" applyAlignment="1">
      <alignment horizontal="right"/>
    </xf>
    <xf numFmtId="49" fontId="2" fillId="2" borderId="0" xfId="0" applyNumberFormat="1" applyFont="1" applyFill="1"/>
    <xf numFmtId="0" fontId="2" fillId="2" borderId="0" xfId="0" applyFont="1" applyFill="1" applyAlignment="1">
      <alignment horizontal="left"/>
    </xf>
    <xf numFmtId="2" fontId="8" fillId="4" borderId="0" xfId="0" applyNumberFormat="1" applyFont="1" applyFill="1"/>
    <xf numFmtId="164" fontId="8" fillId="4" borderId="0" xfId="0" applyNumberFormat="1" applyFont="1" applyFill="1"/>
    <xf numFmtId="0" fontId="7" fillId="4" borderId="0" xfId="0" applyFont="1" applyFill="1" applyAlignment="1">
      <alignment horizontal="left"/>
    </xf>
    <xf numFmtId="0" fontId="9" fillId="4" borderId="0" xfId="0" applyFont="1" applyFill="1"/>
    <xf numFmtId="0" fontId="3" fillId="4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14" fontId="2" fillId="2" borderId="0" xfId="0" applyNumberFormat="1" applyFont="1" applyFill="1" applyAlignment="1">
      <alignment horizontal="left"/>
    </xf>
    <xf numFmtId="44" fontId="3" fillId="2" borderId="0" xfId="1" applyFont="1" applyFill="1" applyAlignment="1">
      <alignment horizontal="left"/>
    </xf>
    <xf numFmtId="44" fontId="2" fillId="2" borderId="0" xfId="1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2" fillId="4" borderId="0" xfId="0" applyFont="1" applyFill="1" applyAlignment="1">
      <alignment horizontal="left"/>
    </xf>
    <xf numFmtId="0" fontId="6" fillId="4" borderId="0" xfId="0" applyFont="1" applyFill="1" applyAlignment="1">
      <alignment horizontal="left"/>
    </xf>
  </cellXfs>
  <cellStyles count="2">
    <cellStyle name="Monétaire" xfId="1" builtinId="4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oogle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14497"/>
        <name val="Google Sans"/>
        <family val="2"/>
        <scheme val="none"/>
      </font>
      <fill>
        <patternFill patternType="solid">
          <fgColor indexed="64"/>
          <bgColor rgb="FFFAFAFA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14497"/>
      <color rgb="FFFA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16</xdr:row>
      <xdr:rowOff>190500</xdr:rowOff>
    </xdr:from>
    <xdr:to>
      <xdr:col>6</xdr:col>
      <xdr:colOff>828675</xdr:colOff>
      <xdr:row>18</xdr:row>
      <xdr:rowOff>38100</xdr:rowOff>
    </xdr:to>
    <xdr:sp macro="[0]!resetOp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A9744582-23A0-A8A6-4793-855E26EF87BE}"/>
            </a:ext>
          </a:extLst>
        </xdr:cNvPr>
        <xdr:cNvSpPr/>
      </xdr:nvSpPr>
      <xdr:spPr>
        <a:xfrm>
          <a:off x="4572000" y="3705225"/>
          <a:ext cx="828675" cy="266700"/>
        </a:xfrm>
        <a:prstGeom prst="roundRect">
          <a:avLst/>
        </a:prstGeom>
        <a:solidFill>
          <a:schemeClr val="bg1"/>
        </a:solidFill>
        <a:ln>
          <a:solidFill>
            <a:srgbClr val="51449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  <a:latin typeface="Google Sans" panose="020B0503030502040204" pitchFamily="34" charset="0"/>
            </a:rPr>
            <a:t>Reset</a:t>
          </a:r>
        </a:p>
      </xdr:txBody>
    </xdr:sp>
    <xdr:clientData/>
  </xdr:twoCellAnchor>
  <xdr:twoCellAnchor>
    <xdr:from>
      <xdr:col>8</xdr:col>
      <xdr:colOff>962025</xdr:colOff>
      <xdr:row>16</xdr:row>
      <xdr:rowOff>190500</xdr:rowOff>
    </xdr:from>
    <xdr:to>
      <xdr:col>9</xdr:col>
      <xdr:colOff>104775</xdr:colOff>
      <xdr:row>18</xdr:row>
      <xdr:rowOff>38100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1313D7D4-0F31-4DCE-B61C-8CFDEE6350BB}"/>
            </a:ext>
          </a:extLst>
        </xdr:cNvPr>
        <xdr:cNvSpPr/>
      </xdr:nvSpPr>
      <xdr:spPr>
        <a:xfrm>
          <a:off x="8353425" y="3705225"/>
          <a:ext cx="828675" cy="266700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latin typeface="Google Sans" panose="020B0503030502040204" pitchFamily="34" charset="0"/>
            </a:rPr>
            <a:t>Output</a:t>
          </a:r>
        </a:p>
      </xdr:txBody>
    </xdr:sp>
    <xdr:clientData/>
  </xdr:twoCellAnchor>
  <xdr:twoCellAnchor>
    <xdr:from>
      <xdr:col>7</xdr:col>
      <xdr:colOff>847725</xdr:colOff>
      <xdr:row>16</xdr:row>
      <xdr:rowOff>190500</xdr:rowOff>
    </xdr:from>
    <xdr:to>
      <xdr:col>8</xdr:col>
      <xdr:colOff>809625</xdr:colOff>
      <xdr:row>18</xdr:row>
      <xdr:rowOff>38100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645B22D9-9C83-4330-9410-2D591454A14F}"/>
            </a:ext>
          </a:extLst>
        </xdr:cNvPr>
        <xdr:cNvSpPr/>
      </xdr:nvSpPr>
      <xdr:spPr>
        <a:xfrm>
          <a:off x="7372350" y="3705225"/>
          <a:ext cx="828675" cy="266700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latin typeface="Google Sans" panose="020B0503030502040204" pitchFamily="34" charset="0"/>
            </a:rPr>
            <a:t>Input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9</xdr:row>
      <xdr:rowOff>85725</xdr:rowOff>
    </xdr:from>
    <xdr:to>
      <xdr:col>5</xdr:col>
      <xdr:colOff>1304925</xdr:colOff>
      <xdr:row>10</xdr:row>
      <xdr:rowOff>152400</xdr:rowOff>
    </xdr:to>
    <xdr:sp macro="[0]!createProduc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F16875F-5CE7-F154-F124-D890450581EC}"/>
            </a:ext>
          </a:extLst>
        </xdr:cNvPr>
        <xdr:cNvSpPr/>
      </xdr:nvSpPr>
      <xdr:spPr>
        <a:xfrm>
          <a:off x="6486525" y="2028825"/>
          <a:ext cx="733425" cy="257175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atin typeface="Google Sans" panose="020B0503030502040204" pitchFamily="34" charset="0"/>
            </a:rPr>
            <a:t>Create</a:t>
          </a:r>
        </a:p>
      </xdr:txBody>
    </xdr:sp>
    <xdr:clientData/>
  </xdr:twoCellAnchor>
  <xdr:twoCellAnchor>
    <xdr:from>
      <xdr:col>4</xdr:col>
      <xdr:colOff>1076325</xdr:colOff>
      <xdr:row>9</xdr:row>
      <xdr:rowOff>85725</xdr:rowOff>
    </xdr:from>
    <xdr:to>
      <xdr:col>5</xdr:col>
      <xdr:colOff>457200</xdr:colOff>
      <xdr:row>10</xdr:row>
      <xdr:rowOff>152400</xdr:rowOff>
    </xdr:to>
    <xdr:sp macro="[0]!resetProduct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1C280A8-610D-44E7-A1A6-828E61490AEC}"/>
            </a:ext>
          </a:extLst>
        </xdr:cNvPr>
        <xdr:cNvSpPr/>
      </xdr:nvSpPr>
      <xdr:spPr>
        <a:xfrm>
          <a:off x="5638800" y="2028825"/>
          <a:ext cx="733425" cy="25717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  <a:latin typeface="Google Sans" panose="020B0503030502040204" pitchFamily="34" charset="0"/>
            </a:rPr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4C4741-18F5-4DF3-9906-D4AA03EE84BB}" name="Tableau1" displayName="Tableau1" ref="C14:J18" totalsRowShown="0" headerRowDxfId="9" dataDxfId="8">
  <autoFilter ref="C14:J18" xr:uid="{D64C4741-18F5-4DF3-9906-D4AA03EE84BB}"/>
  <tableColumns count="8">
    <tableColumn id="1" xr3:uid="{674B2839-B435-4C01-8AC5-92BE4CA098D8}" name="Référence" dataDxfId="7"/>
    <tableColumn id="2" xr3:uid="{767757B2-75BF-4D3C-8C4E-7E239CEAF98F}" name="Designation" dataDxfId="6"/>
    <tableColumn id="3" xr3:uid="{869B1C86-4F6A-4C8A-BEF0-95CDEF6914CF}" name="Categorie" dataDxfId="5"/>
    <tableColumn id="4" xr3:uid="{4580BC63-CEEF-496B-83C1-092C60AB27F6}" name="Unité" dataDxfId="4"/>
    <tableColumn id="5" xr3:uid="{E6E0289B-65CE-41AB-8E35-64723C82F800}" name="Seuil d'alerte" dataDxfId="3"/>
    <tableColumn id="6" xr3:uid="{F2D958AE-B60D-4562-AAA8-414231A1BDDB}" name="Stock initial" dataDxfId="2"/>
    <tableColumn id="7" xr3:uid="{4FCF83D4-DB03-4EAF-A179-9D8B393AC023}" name="Prix unitaire" dataDxfId="1" dataCellStyle="Monétaire"/>
    <tableColumn id="8" xr3:uid="{ECA039A1-1D50-4275-BCBE-3372A50DE7FE}" name="Total" dataDxfId="0" dataCellStyle="Monétaire">
      <calculatedColumnFormula>Tableau1[[#This Row],[Stock initial]]*Tableau1[[#This Row],[Prix unitaire]]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9D6C8-A7AC-4B3E-B9AF-2EDBFA859287}">
  <sheetPr codeName="Feuil2"/>
  <dimension ref="A1:R20"/>
  <sheetViews>
    <sheetView showGridLines="0" tabSelected="1" topLeftCell="E4" zoomScale="110" zoomScaleNormal="110" workbookViewId="0">
      <selection activeCell="G7" sqref="G7"/>
    </sheetView>
  </sheetViews>
  <sheetFormatPr baseColWidth="10" defaultRowHeight="15" x14ac:dyDescent="0.25"/>
  <cols>
    <col min="1" max="2" width="11.42578125" style="2"/>
    <col min="3" max="6" width="11.42578125" style="2" customWidth="1"/>
    <col min="7" max="7" width="29.28515625" style="2" customWidth="1"/>
    <col min="8" max="8" width="13" style="2" customWidth="1"/>
    <col min="9" max="9" width="25.28515625" style="2" customWidth="1"/>
    <col min="10" max="10" width="13" style="2" customWidth="1"/>
    <col min="11" max="16384" width="11.42578125" style="2"/>
  </cols>
  <sheetData>
    <row r="1" spans="1:1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ht="27" x14ac:dyDescent="0.45">
      <c r="A3" s="1"/>
      <c r="B3" s="1"/>
      <c r="C3" s="1"/>
      <c r="D3" s="1"/>
      <c r="E3" s="16"/>
      <c r="F3" s="7"/>
      <c r="G3" s="23" t="s">
        <v>22</v>
      </c>
      <c r="H3" s="3"/>
      <c r="I3" s="3"/>
      <c r="J3" s="3"/>
      <c r="K3" s="1"/>
      <c r="L3" s="1"/>
      <c r="M3" s="1"/>
      <c r="N3" s="1"/>
      <c r="O3" s="1"/>
      <c r="P3" s="1"/>
      <c r="Q3" s="1"/>
      <c r="R3" s="1"/>
    </row>
    <row r="4" spans="1:18" x14ac:dyDescent="0.25">
      <c r="F4" s="3"/>
      <c r="G4" s="3" t="s">
        <v>21</v>
      </c>
      <c r="H4" s="3"/>
      <c r="I4" s="3"/>
      <c r="J4" s="3"/>
    </row>
    <row r="5" spans="1:18" x14ac:dyDescent="0.25">
      <c r="F5" s="3"/>
      <c r="G5" s="3"/>
      <c r="H5" s="3"/>
      <c r="I5" s="3"/>
      <c r="J5" s="3"/>
    </row>
    <row r="6" spans="1:18" ht="18" customHeight="1" x14ac:dyDescent="0.25">
      <c r="C6" s="17"/>
      <c r="D6" s="11"/>
      <c r="E6" s="17"/>
      <c r="F6" s="20"/>
      <c r="G6" s="5" t="s">
        <v>1</v>
      </c>
      <c r="H6" s="5"/>
      <c r="I6" s="5" t="s">
        <v>24</v>
      </c>
      <c r="J6" s="5"/>
    </row>
    <row r="7" spans="1:18" ht="18" customHeight="1" x14ac:dyDescent="0.25">
      <c r="C7" s="17"/>
      <c r="D7" s="11"/>
      <c r="E7" s="17"/>
      <c r="F7" s="20"/>
      <c r="G7" s="19"/>
      <c r="H7" s="5"/>
      <c r="I7" s="26">
        <f ca="1">IFERROR(TODAY(), "")</f>
        <v>45200</v>
      </c>
      <c r="J7" s="5"/>
    </row>
    <row r="8" spans="1:18" ht="18" customHeight="1" x14ac:dyDescent="0.25">
      <c r="C8" s="17"/>
      <c r="D8" s="11"/>
      <c r="E8" s="17"/>
      <c r="F8" s="21"/>
      <c r="G8" s="5"/>
      <c r="H8" s="5"/>
      <c r="I8" s="5"/>
      <c r="J8" s="5"/>
    </row>
    <row r="9" spans="1:18" ht="18" customHeight="1" x14ac:dyDescent="0.25">
      <c r="C9" s="17"/>
      <c r="D9" s="12"/>
      <c r="E9" s="17"/>
      <c r="F9" s="21"/>
      <c r="G9" s="5" t="s">
        <v>23</v>
      </c>
      <c r="H9" s="5"/>
      <c r="I9" s="5" t="s">
        <v>7</v>
      </c>
      <c r="J9" s="5"/>
    </row>
    <row r="10" spans="1:18" x14ac:dyDescent="0.25">
      <c r="F10" s="3"/>
      <c r="G10" s="19" t="str">
        <f>IFERROR(VLOOKUP(G7,Tableau1[#All],2,FALSE ), "")</f>
        <v/>
      </c>
      <c r="H10" s="5"/>
      <c r="I10" s="28">
        <v>0</v>
      </c>
      <c r="J10" s="5"/>
    </row>
    <row r="11" spans="1:18" x14ac:dyDescent="0.25">
      <c r="F11" s="3"/>
      <c r="G11" s="5"/>
      <c r="H11" s="5"/>
      <c r="I11" s="5"/>
      <c r="J11" s="5"/>
    </row>
    <row r="12" spans="1:18" ht="18.75" x14ac:dyDescent="0.3">
      <c r="C12" s="29"/>
      <c r="D12" s="29"/>
      <c r="F12" s="3"/>
      <c r="G12" s="5" t="s">
        <v>3</v>
      </c>
      <c r="H12" s="5"/>
      <c r="I12" s="5" t="s">
        <v>25</v>
      </c>
      <c r="J12" s="5"/>
    </row>
    <row r="13" spans="1:18" x14ac:dyDescent="0.25">
      <c r="F13" s="3"/>
      <c r="G13" s="19" t="str">
        <f>IFERROR(VLOOKUP(G7,Tableau1[#All],3,FALSE ), "")</f>
        <v/>
      </c>
      <c r="H13" s="5"/>
      <c r="I13" s="17">
        <v>0</v>
      </c>
      <c r="J13" s="5"/>
    </row>
    <row r="14" spans="1:18" ht="18" customHeight="1" x14ac:dyDescent="0.3">
      <c r="C14" s="8"/>
      <c r="D14" s="8"/>
      <c r="E14" s="8"/>
      <c r="F14" s="22"/>
      <c r="G14" s="24"/>
      <c r="H14" s="24"/>
      <c r="I14" s="24"/>
      <c r="J14" s="24"/>
    </row>
    <row r="15" spans="1:18" ht="18" customHeight="1" x14ac:dyDescent="0.3">
      <c r="C15" s="8"/>
      <c r="D15" s="11"/>
      <c r="E15" s="18"/>
      <c r="F15" s="22"/>
      <c r="G15" s="24" t="s">
        <v>4</v>
      </c>
      <c r="H15" s="24"/>
      <c r="I15" s="24" t="s">
        <v>8</v>
      </c>
      <c r="J15" s="24"/>
    </row>
    <row r="16" spans="1:18" ht="18" customHeight="1" x14ac:dyDescent="0.3">
      <c r="C16" s="8"/>
      <c r="D16" s="11"/>
      <c r="E16" s="18"/>
      <c r="F16" s="22"/>
      <c r="G16" s="25" t="str">
        <f>IFERROR(VLOOKUP(G7,Tableau1[#All],4,FALSE ), "")</f>
        <v/>
      </c>
      <c r="H16" s="24"/>
      <c r="I16" s="27">
        <f>PRODUCT(I10,I13)</f>
        <v>0</v>
      </c>
      <c r="J16" s="24"/>
    </row>
    <row r="17" spans="3:10" ht="18" customHeight="1" x14ac:dyDescent="0.25">
      <c r="C17" s="19"/>
      <c r="D17" s="19"/>
      <c r="E17" s="18"/>
      <c r="F17" s="5"/>
      <c r="G17" s="5"/>
      <c r="H17" s="5"/>
      <c r="I17" s="13"/>
      <c r="J17" s="13"/>
    </row>
    <row r="18" spans="3:10" x14ac:dyDescent="0.25">
      <c r="F18" s="3"/>
      <c r="G18" s="3"/>
      <c r="H18" s="3"/>
      <c r="I18" s="3"/>
      <c r="J18" s="3"/>
    </row>
    <row r="19" spans="3:10" x14ac:dyDescent="0.25">
      <c r="F19" s="3"/>
      <c r="G19" s="3"/>
      <c r="H19" s="3"/>
      <c r="I19" s="3"/>
      <c r="J19" s="3"/>
    </row>
    <row r="20" spans="3:10" x14ac:dyDescent="0.25">
      <c r="F20" s="3"/>
      <c r="G20" s="3"/>
      <c r="H20" s="3"/>
      <c r="I20" s="3"/>
      <c r="J20" s="3"/>
    </row>
  </sheetData>
  <mergeCells count="1">
    <mergeCell ref="C12:D12"/>
  </mergeCells>
  <pageMargins left="0.7" right="0.7" top="0.75" bottom="0.75" header="0.3" footer="0.3"/>
  <pageSetup scale="98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74AE4-CA53-4525-A12E-E19508F72F23}">
  <sheetPr codeName="Feuil1"/>
  <dimension ref="A1:R18"/>
  <sheetViews>
    <sheetView showGridLines="0" zoomScaleNormal="100" workbookViewId="0">
      <selection activeCell="D7" sqref="D7"/>
    </sheetView>
  </sheetViews>
  <sheetFormatPr baseColWidth="10" defaultRowHeight="15" x14ac:dyDescent="0.25"/>
  <cols>
    <col min="1" max="2" width="11.42578125" style="2"/>
    <col min="3" max="3" width="14.28515625" style="2" customWidth="1"/>
    <col min="4" max="4" width="31.28515625" style="2" customWidth="1"/>
    <col min="5" max="6" width="20.28515625" style="2" customWidth="1"/>
    <col min="7" max="8" width="13" style="2" customWidth="1"/>
    <col min="9" max="9" width="12.85546875" style="2" customWidth="1"/>
    <col min="10" max="10" width="13" style="2" customWidth="1"/>
    <col min="11" max="16384" width="11.42578125" style="2"/>
  </cols>
  <sheetData>
    <row r="1" spans="1:1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ht="21" x14ac:dyDescent="0.35">
      <c r="A3" s="1"/>
      <c r="B3" s="3"/>
      <c r="C3" s="30" t="s">
        <v>9</v>
      </c>
      <c r="D3" s="30"/>
      <c r="E3" s="7"/>
      <c r="F3" s="3"/>
      <c r="G3" s="3"/>
      <c r="H3" s="3"/>
      <c r="I3" s="3"/>
      <c r="J3" s="3"/>
      <c r="K3" s="3"/>
      <c r="L3" s="1"/>
      <c r="M3" s="1"/>
      <c r="N3" s="1"/>
      <c r="O3" s="1"/>
      <c r="P3" s="1"/>
      <c r="Q3" s="1"/>
      <c r="R3" s="1"/>
    </row>
    <row r="4" spans="1:18" x14ac:dyDescent="0.25">
      <c r="B4" s="3"/>
      <c r="C4" s="31" t="s">
        <v>0</v>
      </c>
      <c r="D4" s="31"/>
      <c r="E4" s="31"/>
      <c r="F4" s="31"/>
      <c r="G4" s="31"/>
      <c r="H4" s="3"/>
      <c r="I4" s="3"/>
      <c r="J4" s="3"/>
      <c r="K4" s="3"/>
    </row>
    <row r="5" spans="1:18" x14ac:dyDescent="0.25">
      <c r="B5" s="3"/>
      <c r="C5" s="3"/>
      <c r="D5" s="3"/>
      <c r="E5" s="3"/>
      <c r="F5" s="3"/>
      <c r="G5" s="3"/>
      <c r="H5" s="3"/>
      <c r="I5" s="3"/>
      <c r="J5" s="3"/>
      <c r="K5" s="3"/>
    </row>
    <row r="6" spans="1:18" ht="18" customHeight="1" x14ac:dyDescent="0.25">
      <c r="B6" s="3"/>
      <c r="C6" s="6" t="s">
        <v>1</v>
      </c>
      <c r="D6" s="11" t="s">
        <v>18</v>
      </c>
      <c r="E6" s="6" t="s">
        <v>5</v>
      </c>
      <c r="F6" s="10"/>
      <c r="G6" s="3"/>
      <c r="H6" s="3"/>
      <c r="I6" s="3"/>
      <c r="J6" s="3"/>
      <c r="K6" s="3"/>
    </row>
    <row r="7" spans="1:18" ht="18" customHeight="1" x14ac:dyDescent="0.25">
      <c r="B7" s="3"/>
      <c r="C7" s="6" t="s">
        <v>2</v>
      </c>
      <c r="D7" s="11" t="s">
        <v>18</v>
      </c>
      <c r="E7" s="6" t="s">
        <v>6</v>
      </c>
      <c r="F7" s="10">
        <v>0</v>
      </c>
      <c r="G7" s="3"/>
      <c r="H7" s="3"/>
      <c r="I7" s="3"/>
      <c r="J7" s="3"/>
      <c r="K7" s="3"/>
    </row>
    <row r="8" spans="1:18" ht="18" customHeight="1" x14ac:dyDescent="0.25">
      <c r="B8" s="3"/>
      <c r="C8" s="6" t="s">
        <v>3</v>
      </c>
      <c r="D8" s="11" t="s">
        <v>18</v>
      </c>
      <c r="E8" s="6" t="s">
        <v>7</v>
      </c>
      <c r="F8" s="9">
        <v>0</v>
      </c>
      <c r="G8" s="3"/>
      <c r="H8" s="3"/>
      <c r="I8" s="3"/>
      <c r="J8" s="3"/>
      <c r="K8" s="3"/>
    </row>
    <row r="9" spans="1:18" ht="18" customHeight="1" x14ac:dyDescent="0.25">
      <c r="B9" s="3"/>
      <c r="C9" s="6" t="s">
        <v>4</v>
      </c>
      <c r="D9" s="12"/>
      <c r="E9" s="6" t="s">
        <v>8</v>
      </c>
      <c r="F9" s="9">
        <f>F7*F8</f>
        <v>0</v>
      </c>
      <c r="G9" s="3"/>
      <c r="H9" s="3"/>
      <c r="I9" s="3"/>
      <c r="J9" s="3"/>
      <c r="K9" s="3"/>
    </row>
    <row r="10" spans="1:18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8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8" ht="18.75" x14ac:dyDescent="0.3">
      <c r="B12" s="3"/>
      <c r="C12" s="32" t="s">
        <v>10</v>
      </c>
      <c r="D12" s="32"/>
      <c r="E12" s="3"/>
      <c r="F12" s="3"/>
      <c r="G12" s="3"/>
      <c r="H12" s="3"/>
      <c r="I12" s="3"/>
      <c r="J12" s="3"/>
      <c r="K12" s="3"/>
    </row>
    <row r="13" spans="1:18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8" ht="18" customHeight="1" x14ac:dyDescent="0.3">
      <c r="B14" s="3"/>
      <c r="C14" s="8" t="s">
        <v>1</v>
      </c>
      <c r="D14" s="8" t="s">
        <v>2</v>
      </c>
      <c r="E14" s="8" t="s">
        <v>3</v>
      </c>
      <c r="F14" s="8" t="s">
        <v>4</v>
      </c>
      <c r="G14" s="8" t="s">
        <v>5</v>
      </c>
      <c r="H14" s="8" t="s">
        <v>6</v>
      </c>
      <c r="I14" s="8" t="s">
        <v>7</v>
      </c>
      <c r="J14" s="8" t="s">
        <v>8</v>
      </c>
      <c r="K14" s="3"/>
    </row>
    <row r="15" spans="1:18" ht="18" customHeight="1" x14ac:dyDescent="0.3">
      <c r="B15" s="3"/>
      <c r="C15" s="8" t="s">
        <v>27</v>
      </c>
      <c r="D15" s="11" t="s">
        <v>28</v>
      </c>
      <c r="E15" s="14" t="s">
        <v>20</v>
      </c>
      <c r="F15" s="8" t="s">
        <v>17</v>
      </c>
      <c r="G15" s="15">
        <v>20</v>
      </c>
      <c r="H15" s="15">
        <v>40</v>
      </c>
      <c r="I15" s="8">
        <v>420</v>
      </c>
      <c r="J15" s="8">
        <f>Tableau1[[#This Row],[Stock initial]]*Tableau1[[#This Row],[Prix unitaire]]</f>
        <v>16800</v>
      </c>
      <c r="K15" s="3"/>
    </row>
    <row r="16" spans="1:18" ht="18" customHeight="1" x14ac:dyDescent="0.3">
      <c r="B16" s="3"/>
      <c r="C16" s="8" t="s">
        <v>26</v>
      </c>
      <c r="D16" s="11" t="s">
        <v>19</v>
      </c>
      <c r="E16" s="14" t="s">
        <v>20</v>
      </c>
      <c r="F16" s="8" t="s">
        <v>17</v>
      </c>
      <c r="G16" s="15">
        <v>20</v>
      </c>
      <c r="H16" s="15">
        <v>10</v>
      </c>
      <c r="I16" s="8">
        <v>2700</v>
      </c>
      <c r="J16" s="8">
        <f>Tableau1[[#This Row],[Stock initial]]*Tableau1[[#This Row],[Prix unitaire]]</f>
        <v>27000</v>
      </c>
      <c r="K16" s="3"/>
    </row>
    <row r="17" spans="2:11" ht="18" customHeight="1" x14ac:dyDescent="0.3">
      <c r="B17" s="3"/>
      <c r="C17" s="8" t="s">
        <v>15</v>
      </c>
      <c r="D17" s="11" t="s">
        <v>16</v>
      </c>
      <c r="E17" s="14" t="s">
        <v>12</v>
      </c>
      <c r="F17" s="8" t="s">
        <v>17</v>
      </c>
      <c r="G17" s="15">
        <v>10</v>
      </c>
      <c r="H17" s="15">
        <v>40</v>
      </c>
      <c r="I17" s="8">
        <v>1750</v>
      </c>
      <c r="J17" s="8">
        <f>Tableau1[[#This Row],[Stock initial]]*Tableau1[[#This Row],[Prix unitaire]]</f>
        <v>70000</v>
      </c>
      <c r="K17" s="3"/>
    </row>
    <row r="18" spans="2:11" ht="18" customHeight="1" x14ac:dyDescent="0.25">
      <c r="B18" s="3"/>
      <c r="C18" s="5" t="s">
        <v>11</v>
      </c>
      <c r="D18" s="5" t="s">
        <v>14</v>
      </c>
      <c r="E18" s="14" t="s">
        <v>12</v>
      </c>
      <c r="F18" s="5" t="s">
        <v>13</v>
      </c>
      <c r="G18" s="4">
        <v>10</v>
      </c>
      <c r="H18" s="4">
        <v>5</v>
      </c>
      <c r="I18" s="13">
        <v>120</v>
      </c>
      <c r="J18" s="13">
        <f>Tableau1[[#This Row],[Stock initial]]*Tableau1[[#This Row],[Prix unitaire]]</f>
        <v>600</v>
      </c>
      <c r="K18" s="3"/>
    </row>
  </sheetData>
  <mergeCells count="3">
    <mergeCell ref="C3:D3"/>
    <mergeCell ref="C4:G4"/>
    <mergeCell ref="C12:D1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860B3-8FD5-45CC-928C-C951BC457F9F}">
  <sheetPr codeName="Feuil3"/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A18A1-8CCA-44A8-BCC2-4FBAC4873E62}">
  <sheetPr codeName="Feuil4"/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0E51B-A14D-4948-8FF7-4B37AAE28258}">
  <sheetPr codeName="Feuil5"/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FCC15F-630C-40A6-8545-516001884D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Opération</vt:lpstr>
      <vt:lpstr>Marchandises</vt:lpstr>
      <vt:lpstr>Entrées</vt:lpstr>
      <vt:lpstr>Sorties</vt:lpstr>
      <vt:lpstr>Inventaire</vt:lpstr>
      <vt:lpstr>Opération!Zone_d_impression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2023-09-30T23:29:27Z</cp:lastPrinted>
  <dcterms:created xsi:type="dcterms:W3CDTF">2023-09-30T20:53:48Z</dcterms:created>
  <dcterms:modified xsi:type="dcterms:W3CDTF">2023-09-30T23:33:44Z</dcterms:modified>
</cp:coreProperties>
</file>